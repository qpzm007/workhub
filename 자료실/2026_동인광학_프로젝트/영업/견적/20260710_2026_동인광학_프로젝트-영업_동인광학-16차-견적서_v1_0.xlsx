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동인광학-3289935@@\7월\16차ㅓ\"/>
    </mc:Choice>
  </mc:AlternateContent>
  <xr:revisionPtr revIDLastSave="0" documentId="8_{B6F868AC-A44E-4322-9190-30705D7530B0}" xr6:coauthVersionLast="47" xr6:coauthVersionMax="47" xr10:uidLastSave="{00000000-0000-0000-0000-000000000000}"/>
  <bookViews>
    <workbookView xWindow="735" yWindow="720" windowWidth="18780" windowHeight="12435" xr2:uid="{00000000-000D-0000-FFFF-FFFF00000000}"/>
  </bookViews>
  <sheets>
    <sheet name="Sheet1" sheetId="1" r:id="rId1"/>
  </sheets>
  <definedNames>
    <definedName name="_xlnm.Print_Area" localSheetId="0">Sheet1!$A$1:$L$45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1" l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J33" i="1"/>
  <c r="K33" i="1" s="1"/>
  <c r="J34" i="1"/>
  <c r="K34" i="1" s="1"/>
  <c r="J35" i="1"/>
  <c r="K35" i="1" s="1"/>
  <c r="J36" i="1"/>
  <c r="K36" i="1" s="1"/>
  <c r="J37" i="1"/>
  <c r="K37" i="1" s="1"/>
  <c r="J38" i="1"/>
  <c r="K38" i="1" s="1"/>
  <c r="J39" i="1"/>
  <c r="K39" i="1" s="1"/>
  <c r="J40" i="1"/>
  <c r="K40" i="1" s="1"/>
  <c r="J41" i="1"/>
  <c r="K41" i="1" s="1"/>
  <c r="J42" i="1"/>
  <c r="K42" i="1" s="1"/>
  <c r="J43" i="1"/>
  <c r="K43" i="1" s="1"/>
  <c r="J44" i="1"/>
  <c r="K44" i="1" s="1"/>
  <c r="J45" i="1"/>
  <c r="K45" i="1" s="1"/>
  <c r="J10" i="1"/>
  <c r="K10" i="1" s="1"/>
  <c r="A2" i="1" l="1"/>
  <c r="C7" i="1" l="1"/>
</calcChain>
</file>

<file path=xl/sharedStrings.xml><?xml version="1.0" encoding="utf-8"?>
<sst xmlns="http://schemas.openxmlformats.org/spreadsheetml/2006/main" count="29" uniqueCount="28">
  <si>
    <t>수     신</t>
    <phoneticPr fontId="4" type="noConversion"/>
  </si>
  <si>
    <t>금     액</t>
    <phoneticPr fontId="4" type="noConversion"/>
  </si>
  <si>
    <t>납     기</t>
    <phoneticPr fontId="4" type="noConversion"/>
  </si>
  <si>
    <t>견적담당</t>
    <phoneticPr fontId="4" type="noConversion"/>
  </si>
  <si>
    <t>아래와같이 견적 합니다</t>
    <phoneticPr fontId="4" type="noConversion"/>
  </si>
  <si>
    <t>NO</t>
    <phoneticPr fontId="4" type="noConversion"/>
  </si>
  <si>
    <t>수량</t>
    <phoneticPr fontId="4" type="noConversion"/>
  </si>
  <si>
    <t>재질</t>
    <phoneticPr fontId="4" type="noConversion"/>
  </si>
  <si>
    <t>재료비</t>
    <phoneticPr fontId="4" type="noConversion"/>
  </si>
  <si>
    <t>단가</t>
    <phoneticPr fontId="4" type="noConversion"/>
  </si>
  <si>
    <t>공급가액</t>
    <phoneticPr fontId="4" type="noConversion"/>
  </si>
  <si>
    <t>비고</t>
    <phoneticPr fontId="4" type="noConversion"/>
  </si>
  <si>
    <t xml:space="preserve"> 님 貴中</t>
  </si>
  <si>
    <t>품명</t>
    <phoneticPr fontId="3" type="noConversion"/>
  </si>
  <si>
    <t>견    적   서</t>
    <phoneticPr fontId="4" type="noConversion"/>
  </si>
  <si>
    <t xml:space="preserve"> \ VAT 별도</t>
    <phoneticPr fontId="3" type="noConversion"/>
  </si>
  <si>
    <t>도번</t>
    <phoneticPr fontId="3" type="noConversion"/>
  </si>
  <si>
    <t>도금(후처리)</t>
  </si>
  <si>
    <t>가공비</t>
    <phoneticPr fontId="4" type="noConversion"/>
  </si>
  <si>
    <t>현장명</t>
    <phoneticPr fontId="4" type="noConversion"/>
  </si>
  <si>
    <t>신상훈 대리</t>
    <phoneticPr fontId="3" type="noConversion"/>
  </si>
  <si>
    <t>박종근 팀장</t>
    <phoneticPr fontId="3" type="noConversion"/>
  </si>
  <si>
    <t>열처리</t>
    <phoneticPr fontId="3" type="noConversion"/>
  </si>
  <si>
    <t>장착대
(레이져모듈하우징)</t>
  </si>
  <si>
    <t>장착대 덮개
(레이져모듈하우징)</t>
  </si>
  <si>
    <t>JIG-0191</t>
  </si>
  <si>
    <t>JIG-0192</t>
  </si>
  <si>
    <t>AL6061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</si>
</sst>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&quot;₩&quot;#,##0"/>
    <numFmt numFmtId="177" formatCode="yy&quot;年&quot;\ m&quot;月&quot;\ d&quot;日&quot;;@"/>
    <numFmt numFmtId="178" formatCode="yy&quot;-&quot;m&quot;-&quot;d;@"/>
    <numFmt numFmtId="179" formatCode="0_);[Red]\(0\)"/>
    <numFmt numFmtId="180" formatCode="&quot;₩&quot;#,##0_);[Red]\(&quot;₩&quot;#,##0\)"/>
  </numFmts>
  <fonts count="1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u/>
      <sz val="24"/>
      <name val="굴림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u/>
      <sz val="10"/>
      <name val="굴림"/>
      <family val="3"/>
      <charset val="129"/>
    </font>
    <font>
      <b/>
      <sz val="11"/>
      <name val="굴림"/>
      <family val="3"/>
      <charset val="129"/>
    </font>
    <font>
      <b/>
      <sz val="12"/>
      <name val="굴림"/>
      <family val="3"/>
      <charset val="129"/>
    </font>
    <font>
      <b/>
      <sz val="9"/>
      <name val="굴림"/>
      <family val="3"/>
      <charset val="129"/>
    </font>
    <font>
      <b/>
      <sz val="20"/>
      <name val="굴림"/>
      <family val="3"/>
      <charset val="129"/>
    </font>
    <font>
      <b/>
      <sz val="10"/>
      <name val="굴림"/>
      <family val="3"/>
      <charset val="129"/>
    </font>
    <font>
      <sz val="9"/>
      <name val="굴림"/>
      <family val="3"/>
      <charset val="129"/>
    </font>
    <font>
      <sz val="11"/>
      <name val="돋움"/>
      <family val="3"/>
      <charset val="129"/>
    </font>
    <font>
      <sz val="11"/>
      <name val="굴림"/>
      <family val="3"/>
      <charset val="129"/>
    </font>
    <font>
      <sz val="9"/>
      <color theme="1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0" fontId="7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 applyAlignment="1">
      <alignment wrapText="1"/>
    </xf>
    <xf numFmtId="0" fontId="10" fillId="0" borderId="5" xfId="0" applyFont="1" applyBorder="1" applyAlignment="1">
      <alignment wrapText="1"/>
    </xf>
    <xf numFmtId="0" fontId="7" fillId="0" borderId="9" xfId="0" applyFont="1" applyBorder="1">
      <alignment vertical="center"/>
    </xf>
    <xf numFmtId="41" fontId="11" fillId="0" borderId="6" xfId="1" applyFont="1" applyFill="1" applyBorder="1" applyAlignment="1">
      <alignment horizontal="center" vertical="center"/>
    </xf>
    <xf numFmtId="0" fontId="7" fillId="0" borderId="20" xfId="0" applyFont="1" applyBorder="1">
      <alignment vertical="center"/>
    </xf>
    <xf numFmtId="0" fontId="8" fillId="0" borderId="20" xfId="0" applyFont="1" applyBorder="1" applyAlignment="1">
      <alignment horizontal="center" vertical="center"/>
    </xf>
    <xf numFmtId="0" fontId="9" fillId="0" borderId="20" xfId="0" applyFont="1" applyBorder="1">
      <alignment vertical="center"/>
    </xf>
    <xf numFmtId="0" fontId="9" fillId="0" borderId="9" xfId="0" applyFont="1" applyBorder="1">
      <alignment vertical="center"/>
    </xf>
    <xf numFmtId="0" fontId="10" fillId="0" borderId="9" xfId="0" applyFont="1" applyBorder="1" applyAlignment="1">
      <alignment vertical="center" wrapText="1"/>
    </xf>
    <xf numFmtId="0" fontId="9" fillId="0" borderId="22" xfId="0" applyFont="1" applyBorder="1">
      <alignment vertical="center"/>
    </xf>
    <xf numFmtId="0" fontId="10" fillId="0" borderId="23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1" fillId="0" borderId="16" xfId="0" applyFont="1" applyBorder="1">
      <alignment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179" fontId="8" fillId="3" borderId="11" xfId="0" applyNumberFormat="1" applyFont="1" applyFill="1" applyBorder="1" applyAlignment="1">
      <alignment horizontal="center" vertical="center"/>
    </xf>
    <xf numFmtId="179" fontId="11" fillId="0" borderId="6" xfId="1" applyNumberFormat="1" applyFont="1" applyFill="1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79" fontId="11" fillId="0" borderId="0" xfId="1" applyNumberFormat="1" applyFont="1" applyFill="1" applyBorder="1" applyAlignment="1">
      <alignment horizontal="center" vertical="center"/>
    </xf>
    <xf numFmtId="41" fontId="11" fillId="0" borderId="0" xfId="1" applyFont="1" applyFill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179" fontId="14" fillId="0" borderId="0" xfId="0" applyNumberFormat="1" applyFont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177" fontId="6" fillId="0" borderId="0" xfId="0" applyNumberFormat="1" applyFont="1" applyAlignment="1">
      <alignment horizontal="center" vertical="center"/>
    </xf>
    <xf numFmtId="177" fontId="6" fillId="0" borderId="9" xfId="0" applyNumberFormat="1" applyFont="1" applyBorder="1" applyAlignment="1">
      <alignment horizontal="center" vertical="center"/>
    </xf>
    <xf numFmtId="49" fontId="13" fillId="0" borderId="7" xfId="0" applyNumberFormat="1" applyFont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49" fontId="13" fillId="0" borderId="6" xfId="0" applyNumberFormat="1" applyFont="1" applyBorder="1" applyAlignment="1">
      <alignment horizontal="center" vertical="center"/>
    </xf>
    <xf numFmtId="49" fontId="13" fillId="0" borderId="21" xfId="0" applyNumberFormat="1" applyFont="1" applyBorder="1" applyAlignment="1">
      <alignment horizontal="center" vertical="center"/>
    </xf>
    <xf numFmtId="180" fontId="11" fillId="2" borderId="6" xfId="1" applyNumberFormat="1" applyFont="1" applyFill="1" applyBorder="1" applyAlignment="1">
      <alignment horizontal="center" vertical="center" shrinkToFit="1"/>
    </xf>
    <xf numFmtId="180" fontId="11" fillId="2" borderId="7" xfId="1" applyNumberFormat="1" applyFont="1" applyFill="1" applyBorder="1" applyAlignment="1">
      <alignment horizontal="center" vertical="center" wrapText="1" shrinkToFit="1"/>
    </xf>
    <xf numFmtId="180" fontId="11" fillId="0" borderId="14" xfId="2" applyNumberFormat="1" applyFont="1" applyFill="1" applyBorder="1" applyAlignment="1">
      <alignment horizontal="center" vertical="center"/>
    </xf>
    <xf numFmtId="180" fontId="11" fillId="0" borderId="14" xfId="1" applyNumberFormat="1" applyFont="1" applyFill="1" applyBorder="1" applyAlignment="1">
      <alignment horizontal="center" vertical="center" shrinkToFit="1"/>
    </xf>
    <xf numFmtId="180" fontId="11" fillId="2" borderId="6" xfId="1" applyNumberFormat="1" applyFont="1" applyFill="1" applyBorder="1" applyAlignment="1">
      <alignment horizontal="center" vertical="center" wrapText="1" shrinkToFit="1"/>
    </xf>
    <xf numFmtId="180" fontId="11" fillId="2" borderId="7" xfId="1" applyNumberFormat="1" applyFont="1" applyFill="1" applyBorder="1" applyAlignment="1">
      <alignment horizontal="center" vertical="center" shrinkToFit="1"/>
    </xf>
    <xf numFmtId="180" fontId="11" fillId="4" borderId="6" xfId="3" applyNumberFormat="1" applyFont="1" applyFill="1" applyBorder="1" applyAlignment="1">
      <alignment horizontal="center" vertical="center" shrinkToFit="1"/>
    </xf>
    <xf numFmtId="180" fontId="11" fillId="4" borderId="7" xfId="3" applyNumberFormat="1" applyFont="1" applyFill="1" applyBorder="1" applyAlignment="1">
      <alignment horizontal="center" vertical="center" wrapText="1" shrinkToFit="1"/>
    </xf>
    <xf numFmtId="180" fontId="11" fillId="4" borderId="6" xfId="3" applyNumberFormat="1" applyFont="1" applyFill="1" applyBorder="1" applyAlignment="1">
      <alignment horizontal="center" vertical="center" wrapText="1" shrinkToFit="1"/>
    </xf>
    <xf numFmtId="180" fontId="11" fillId="4" borderId="6" xfId="1" applyNumberFormat="1" applyFont="1" applyFill="1" applyBorder="1" applyAlignment="1">
      <alignment horizontal="center" vertical="center" shrinkToFit="1"/>
    </xf>
    <xf numFmtId="0" fontId="11" fillId="0" borderId="15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5" fillId="0" borderId="4" xfId="0" applyNumberFormat="1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6" fillId="0" borderId="19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176" fontId="6" fillId="0" borderId="6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8" fillId="0" borderId="26" xfId="0" applyFont="1" applyBorder="1" applyAlignment="1">
      <alignment horizontal="left" vertical="center"/>
    </xf>
    <xf numFmtId="177" fontId="6" fillId="0" borderId="6" xfId="0" applyNumberFormat="1" applyFont="1" applyBorder="1" applyAlignment="1">
      <alignment horizontal="center" vertical="center"/>
    </xf>
    <xf numFmtId="178" fontId="10" fillId="0" borderId="8" xfId="0" applyNumberFormat="1" applyFont="1" applyBorder="1" applyAlignment="1">
      <alignment horizontal="center" vertical="center"/>
    </xf>
    <xf numFmtId="178" fontId="10" fillId="0" borderId="17" xfId="0" applyNumberFormat="1" applyFont="1" applyBorder="1" applyAlignment="1">
      <alignment horizontal="center" vertical="center"/>
    </xf>
    <xf numFmtId="38" fontId="10" fillId="0" borderId="7" xfId="0" applyNumberFormat="1" applyFont="1" applyBorder="1" applyAlignment="1">
      <alignment horizontal="center" vertical="center"/>
    </xf>
    <xf numFmtId="38" fontId="10" fillId="0" borderId="8" xfId="0" applyNumberFormat="1" applyFont="1" applyBorder="1" applyAlignment="1">
      <alignment horizontal="center" vertical="center"/>
    </xf>
  </cellXfs>
  <cellStyles count="4">
    <cellStyle name="백분율" xfId="3" builtinId="5"/>
    <cellStyle name="쉼표 [0]" xfId="1" builtinId="6"/>
    <cellStyle name="쉼표 [0] 2" xfId="2" xr:uid="{00000000-0005-0000-0000-000001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47624</xdr:rowOff>
    </xdr:from>
    <xdr:to>
      <xdr:col>11</xdr:col>
      <xdr:colOff>581025</xdr:colOff>
      <xdr:row>6</xdr:row>
      <xdr:rowOff>295275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4448176" y="657224"/>
          <a:ext cx="4352924" cy="186690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72000" tIns="0" rIns="0" bIns="0" anchor="ctr" upright="1"/>
        <a:lstStyle/>
        <a:p>
          <a:pPr marL="0" marR="0" lvl="0" indent="0" algn="l" defTabSz="914400" rtl="0" eaLnBrk="1" fontAlgn="auto" latinLnBrk="0" hangingPunct="1">
            <a:lnSpc>
              <a:spcPts val="2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ko-KR" altLang="ko-KR" sz="1200" b="1" i="0" baseline="0">
              <a:latin typeface="굴림" pitchFamily="50" charset="-127"/>
              <a:ea typeface="굴림" pitchFamily="50" charset="-127"/>
              <a:cs typeface="+mn-cs"/>
            </a:rPr>
            <a:t>회   사   명 </a:t>
          </a:r>
          <a:r>
            <a:rPr lang="en-US" altLang="ko-KR" sz="1200" b="1" i="0" baseline="0">
              <a:latin typeface="굴림" pitchFamily="50" charset="-127"/>
              <a:ea typeface="굴림" pitchFamily="50" charset="-127"/>
              <a:cs typeface="+mn-cs"/>
            </a:rPr>
            <a:t>:  </a:t>
          </a:r>
          <a:r>
            <a:rPr lang="ko-KR" altLang="en-US" sz="1200" b="1" i="0" baseline="0">
              <a:latin typeface="굴림" pitchFamily="50" charset="-127"/>
              <a:ea typeface="굴림" pitchFamily="50" charset="-127"/>
              <a:cs typeface="+mn-cs"/>
            </a:rPr>
            <a:t>명  신  기  계   </a:t>
          </a:r>
          <a:endParaRPr lang="en-US" altLang="ko-KR" sz="1200" b="1" i="0" baseline="0">
            <a:latin typeface="굴림" pitchFamily="50" charset="-127"/>
            <a:ea typeface="굴림" pitchFamily="50" charset="-127"/>
            <a:cs typeface="+mn-cs"/>
          </a:endParaRPr>
        </a:p>
        <a:p>
          <a:pPr marL="0" marR="0" lvl="0" indent="0" algn="l" defTabSz="914400" rtl="0" eaLnBrk="1" fontAlgn="auto" latinLnBrk="0" hangingPunct="1">
            <a:lnSpc>
              <a:spcPts val="2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ko-KR" altLang="en-US" sz="1200" b="1" i="0" u="none" strike="noStrike" baseline="0">
              <a:solidFill>
                <a:srgbClr val="000000"/>
              </a:solidFill>
              <a:latin typeface="굴림" pitchFamily="50" charset="-127"/>
              <a:ea typeface="굴림" pitchFamily="50" charset="-127"/>
            </a:rPr>
            <a:t>사업자번호 </a:t>
          </a:r>
          <a:r>
            <a:rPr lang="en-US" altLang="ko-KR" sz="1200" b="1" i="0" u="none" strike="noStrike" baseline="0">
              <a:solidFill>
                <a:srgbClr val="000000"/>
              </a:solidFill>
              <a:latin typeface="굴림" pitchFamily="50" charset="-127"/>
              <a:ea typeface="굴림" pitchFamily="50" charset="-127"/>
            </a:rPr>
            <a:t>: 130-16-83787 </a:t>
          </a:r>
        </a:p>
        <a:p>
          <a:pPr lvl="0" algn="l" rtl="0">
            <a:lnSpc>
              <a:spcPts val="1500"/>
            </a:lnSpc>
            <a:defRPr sz="1000"/>
          </a:pPr>
          <a:r>
            <a:rPr lang="ko-KR" altLang="en-US" sz="1200" b="1" i="0" u="none" strike="noStrike" baseline="0">
              <a:solidFill>
                <a:srgbClr val="000000"/>
              </a:solidFill>
              <a:latin typeface="굴림" pitchFamily="50" charset="-127"/>
              <a:ea typeface="굴림" pitchFamily="50" charset="-127"/>
            </a:rPr>
            <a:t>대   표   자 </a:t>
          </a:r>
          <a:r>
            <a:rPr lang="en-US" altLang="ko-KR" sz="1200" b="1" i="0" u="none" strike="noStrike" baseline="0">
              <a:solidFill>
                <a:srgbClr val="000000"/>
              </a:solidFill>
              <a:latin typeface="굴림" pitchFamily="50" charset="-127"/>
              <a:ea typeface="굴림" pitchFamily="50" charset="-127"/>
            </a:rPr>
            <a:t>: </a:t>
          </a:r>
          <a:r>
            <a:rPr lang="ko-KR" altLang="en-US" sz="1200" b="1" i="0" u="none" strike="noStrike" baseline="0">
              <a:solidFill>
                <a:srgbClr val="000000"/>
              </a:solidFill>
              <a:latin typeface="굴림" pitchFamily="50" charset="-127"/>
              <a:ea typeface="굴림" pitchFamily="50" charset="-127"/>
            </a:rPr>
            <a:t>신   재   민</a:t>
          </a:r>
          <a:endParaRPr lang="en-US" altLang="ko-KR" sz="1200" b="1" i="0" u="none" strike="noStrike" baseline="0">
            <a:solidFill>
              <a:srgbClr val="000000"/>
            </a:solidFill>
            <a:latin typeface="굴림" pitchFamily="50" charset="-127"/>
            <a:ea typeface="굴림" pitchFamily="50" charset="-127"/>
          </a:endParaRPr>
        </a:p>
        <a:p>
          <a:pPr lvl="0" algn="l" rtl="0">
            <a:lnSpc>
              <a:spcPts val="1500"/>
            </a:lnSpc>
            <a:defRPr sz="1000"/>
          </a:pPr>
          <a:r>
            <a:rPr lang="ko-KR" altLang="en-US" sz="1200" b="1" i="0" u="none" strike="noStrike" baseline="0">
              <a:solidFill>
                <a:srgbClr val="000000"/>
              </a:solidFill>
              <a:latin typeface="굴림" pitchFamily="50" charset="-127"/>
              <a:ea typeface="굴림" pitchFamily="50" charset="-127"/>
            </a:rPr>
            <a:t>주         소 </a:t>
          </a:r>
          <a:r>
            <a:rPr lang="en-US" altLang="ko-KR" sz="1200" b="1" i="0" u="none" strike="noStrike" baseline="0">
              <a:solidFill>
                <a:srgbClr val="000000"/>
              </a:solidFill>
              <a:latin typeface="굴림" pitchFamily="50" charset="-127"/>
              <a:ea typeface="굴림" pitchFamily="50" charset="-127"/>
            </a:rPr>
            <a:t>: </a:t>
          </a:r>
          <a:r>
            <a:rPr lang="ko-KR" altLang="en-US" sz="1200" b="1" i="0" u="none" strike="noStrike" baseline="0">
              <a:solidFill>
                <a:srgbClr val="000000"/>
              </a:solidFill>
              <a:latin typeface="굴림" pitchFamily="50" charset="-127"/>
              <a:ea typeface="굴림" pitchFamily="50" charset="-127"/>
            </a:rPr>
            <a:t>경기도 부천시 원미 길주로 </a:t>
          </a:r>
          <a:r>
            <a:rPr lang="en-US" altLang="ko-KR" sz="1200" b="1" i="0" u="none" strike="noStrike" baseline="0">
              <a:solidFill>
                <a:srgbClr val="000000"/>
              </a:solidFill>
              <a:latin typeface="굴림" pitchFamily="50" charset="-127"/>
              <a:ea typeface="굴림" pitchFamily="50" charset="-127"/>
            </a:rPr>
            <a:t>426</a:t>
          </a:r>
          <a:r>
            <a:rPr lang="ko-KR" altLang="en-US" sz="1200" b="1" i="0" u="none" strike="noStrike" baseline="0">
              <a:solidFill>
                <a:srgbClr val="000000"/>
              </a:solidFill>
              <a:latin typeface="굴림" pitchFamily="50" charset="-127"/>
              <a:ea typeface="굴림" pitchFamily="50" charset="-127"/>
            </a:rPr>
            <a:t>번길 </a:t>
          </a:r>
          <a:r>
            <a:rPr lang="en-US" altLang="ko-KR" sz="1200" b="1" i="0" u="none" strike="noStrike" baseline="0">
              <a:solidFill>
                <a:srgbClr val="000000"/>
              </a:solidFill>
              <a:latin typeface="굴림" pitchFamily="50" charset="-127"/>
              <a:ea typeface="굴림" pitchFamily="50" charset="-127"/>
            </a:rPr>
            <a:t>17</a:t>
          </a:r>
        </a:p>
        <a:p>
          <a:pPr lvl="0" algn="l" rtl="0">
            <a:lnSpc>
              <a:spcPts val="1500"/>
            </a:lnSpc>
            <a:defRPr sz="1000"/>
          </a:pPr>
          <a:r>
            <a:rPr lang="ko-KR" altLang="en-US" sz="1200" b="1" i="0" u="none" strike="noStrike" baseline="0">
              <a:solidFill>
                <a:srgbClr val="000000"/>
              </a:solidFill>
              <a:latin typeface="굴림" pitchFamily="50" charset="-127"/>
              <a:ea typeface="굴림" pitchFamily="50" charset="-127"/>
            </a:rPr>
            <a:t>업태 </a:t>
          </a:r>
          <a:r>
            <a:rPr lang="en-US" altLang="ko-KR" sz="1200" b="1" i="0" u="none" strike="noStrike" baseline="0">
              <a:solidFill>
                <a:srgbClr val="000000"/>
              </a:solidFill>
              <a:latin typeface="굴림" pitchFamily="50" charset="-127"/>
              <a:ea typeface="굴림" pitchFamily="50" charset="-127"/>
            </a:rPr>
            <a:t>/ </a:t>
          </a:r>
          <a:r>
            <a:rPr lang="ko-KR" altLang="en-US" sz="1200" b="1" i="0" u="none" strike="noStrike" baseline="0">
              <a:solidFill>
                <a:srgbClr val="000000"/>
              </a:solidFill>
              <a:latin typeface="굴림" pitchFamily="50" charset="-127"/>
              <a:ea typeface="굴림" pitchFamily="50" charset="-127"/>
            </a:rPr>
            <a:t>종목 </a:t>
          </a:r>
          <a:r>
            <a:rPr lang="en-US" altLang="ko-KR" sz="1200" b="1" i="0" u="none" strike="noStrike" baseline="0">
              <a:solidFill>
                <a:srgbClr val="000000"/>
              </a:solidFill>
              <a:latin typeface="굴림" pitchFamily="50" charset="-127"/>
              <a:ea typeface="굴림" pitchFamily="50" charset="-127"/>
            </a:rPr>
            <a:t>:  </a:t>
          </a:r>
          <a:r>
            <a:rPr lang="ko-KR" altLang="en-US" sz="1200" b="1" i="0" u="none" strike="noStrike" baseline="0">
              <a:solidFill>
                <a:srgbClr val="000000"/>
              </a:solidFill>
              <a:latin typeface="굴림" pitchFamily="50" charset="-127"/>
              <a:ea typeface="굴림" pitchFamily="50" charset="-127"/>
            </a:rPr>
            <a:t>제조         기계부품</a:t>
          </a:r>
          <a:endParaRPr lang="en-US" altLang="ko-KR" sz="1200" b="1" i="0" u="none" strike="noStrike" baseline="0">
            <a:solidFill>
              <a:srgbClr val="000000"/>
            </a:solidFill>
            <a:latin typeface="굴림" pitchFamily="50" charset="-127"/>
            <a:ea typeface="굴림" pitchFamily="50" charset="-127"/>
          </a:endParaRPr>
        </a:p>
        <a:p>
          <a:pPr lvl="0" algn="l" rtl="0">
            <a:lnSpc>
              <a:spcPts val="1500"/>
            </a:lnSpc>
            <a:defRPr sz="1000"/>
          </a:pPr>
          <a:r>
            <a:rPr lang="ko-KR" altLang="en-US" sz="1200" b="1" i="0" u="none" strike="noStrike" baseline="0">
              <a:solidFill>
                <a:srgbClr val="000000"/>
              </a:solidFill>
              <a:latin typeface="굴림" pitchFamily="50" charset="-127"/>
              <a:ea typeface="굴림" pitchFamily="50" charset="-127"/>
            </a:rPr>
            <a:t>전         화</a:t>
          </a:r>
          <a:r>
            <a:rPr lang="en-US" altLang="ko-KR" sz="1200" b="1" i="0" u="none" strike="noStrike" baseline="0">
              <a:solidFill>
                <a:srgbClr val="000000"/>
              </a:solidFill>
              <a:latin typeface="굴림" pitchFamily="50" charset="-127"/>
              <a:ea typeface="굴림" pitchFamily="50" charset="-127"/>
            </a:rPr>
            <a:t> :  010-8914-6546</a:t>
          </a:r>
        </a:p>
        <a:p>
          <a:pPr lvl="0" algn="l" rtl="0">
            <a:lnSpc>
              <a:spcPts val="1500"/>
            </a:lnSpc>
            <a:defRPr sz="1000"/>
          </a:pPr>
          <a:r>
            <a:rPr lang="ko-KR" altLang="en-US" sz="1200" b="1" i="0" u="none" strike="noStrike" baseline="0">
              <a:solidFill>
                <a:srgbClr val="000000"/>
              </a:solidFill>
              <a:latin typeface="굴림" pitchFamily="50" charset="-127"/>
              <a:ea typeface="굴림" pitchFamily="50" charset="-127"/>
            </a:rPr>
            <a:t>팩         스 </a:t>
          </a:r>
          <a:r>
            <a:rPr lang="en-US" altLang="ko-KR" sz="1200" b="1" i="0" u="none" strike="noStrike" baseline="0">
              <a:solidFill>
                <a:srgbClr val="000000"/>
              </a:solidFill>
              <a:latin typeface="굴림" pitchFamily="50" charset="-127"/>
              <a:ea typeface="굴림" pitchFamily="50" charset="-127"/>
            </a:rPr>
            <a:t>:  032-662-0690</a:t>
          </a:r>
        </a:p>
      </xdr:txBody>
    </xdr:sp>
    <xdr:clientData/>
  </xdr:twoCellAnchor>
  <xdr:twoCellAnchor>
    <xdr:from>
      <xdr:col>10</xdr:col>
      <xdr:colOff>771525</xdr:colOff>
      <xdr:row>2</xdr:row>
      <xdr:rowOff>104775</xdr:rowOff>
    </xdr:from>
    <xdr:to>
      <xdr:col>11</xdr:col>
      <xdr:colOff>323850</xdr:colOff>
      <xdr:row>3</xdr:row>
      <xdr:rowOff>238125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9067800" y="714375"/>
          <a:ext cx="581025" cy="457200"/>
        </a:xfrm>
        <a:prstGeom prst="rect">
          <a:avLst/>
        </a:prstGeom>
        <a:noFill/>
        <a:ln w="31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ko-KR" altLang="en-US"/>
        </a:p>
      </xdr:txBody>
    </xdr:sp>
    <xdr:clientData/>
  </xdr:twoCellAnchor>
  <xdr:twoCellAnchor editAs="oneCell">
    <xdr:from>
      <xdr:col>10</xdr:col>
      <xdr:colOff>857250</xdr:colOff>
      <xdr:row>2</xdr:row>
      <xdr:rowOff>123825</xdr:rowOff>
    </xdr:from>
    <xdr:to>
      <xdr:col>11</xdr:col>
      <xdr:colOff>238124</xdr:colOff>
      <xdr:row>3</xdr:row>
      <xdr:rowOff>204494</xdr:rowOff>
    </xdr:to>
    <xdr:pic>
      <xdr:nvPicPr>
        <xdr:cNvPr id="4" name="그림 7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53525" y="733425"/>
          <a:ext cx="409574" cy="4045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53"/>
  <sheetViews>
    <sheetView tabSelected="1" view="pageBreakPreview" topLeftCell="B1" zoomScaleNormal="100" zoomScaleSheetLayoutView="100" workbookViewId="0">
      <selection activeCell="H12" sqref="H12"/>
    </sheetView>
  </sheetViews>
  <sheetFormatPr defaultRowHeight="16.5" x14ac:dyDescent="0.3"/>
  <cols>
    <col min="1" max="1" width="3.625" customWidth="1"/>
    <col min="2" max="2" width="31" style="14" customWidth="1"/>
    <col min="3" max="3" width="28.25" customWidth="1"/>
    <col min="4" max="4" width="4.875" style="22" customWidth="1"/>
    <col min="6" max="6" width="9.625" customWidth="1"/>
    <col min="7" max="7" width="13.75" customWidth="1"/>
    <col min="8" max="8" width="12.75" style="14" customWidth="1"/>
    <col min="11" max="11" width="13.5" customWidth="1"/>
    <col min="12" max="12" width="16.75" customWidth="1"/>
  </cols>
  <sheetData>
    <row r="1" spans="1:12" ht="31.5" x14ac:dyDescent="0.3">
      <c r="A1" s="49" t="s">
        <v>14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1"/>
    </row>
    <row r="2" spans="1:12" x14ac:dyDescent="0.3">
      <c r="A2" s="52">
        <f ca="1">TODAY()</f>
        <v>46212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4"/>
    </row>
    <row r="3" spans="1:12" ht="25.5" x14ac:dyDescent="0.3">
      <c r="A3" s="55" t="s">
        <v>0</v>
      </c>
      <c r="B3" s="56"/>
      <c r="C3" s="57" t="s">
        <v>21</v>
      </c>
      <c r="D3" s="58"/>
      <c r="E3" s="58"/>
      <c r="F3" s="59" t="s">
        <v>12</v>
      </c>
      <c r="G3" s="60"/>
      <c r="H3" s="30"/>
      <c r="I3" s="7"/>
      <c r="J3" s="8"/>
      <c r="K3" s="9"/>
      <c r="L3" s="12"/>
    </row>
    <row r="4" spans="1:12" ht="25.5" x14ac:dyDescent="0.15">
      <c r="A4" s="55" t="s">
        <v>3</v>
      </c>
      <c r="B4" s="56"/>
      <c r="C4" s="61" t="s">
        <v>20</v>
      </c>
      <c r="D4" s="61"/>
      <c r="E4" s="61"/>
      <c r="F4" s="61"/>
      <c r="G4" s="61"/>
      <c r="H4" s="31"/>
      <c r="I4" s="1"/>
      <c r="J4" s="2"/>
      <c r="K4" s="3"/>
      <c r="L4" s="4"/>
    </row>
    <row r="5" spans="1:12" ht="25.5" x14ac:dyDescent="0.15">
      <c r="A5" s="55" t="s">
        <v>19</v>
      </c>
      <c r="B5" s="56"/>
      <c r="C5" s="62"/>
      <c r="D5" s="62"/>
      <c r="E5" s="62"/>
      <c r="F5" s="62"/>
      <c r="G5" s="62"/>
      <c r="H5" s="31"/>
      <c r="I5" s="1"/>
      <c r="J5" s="2"/>
      <c r="K5" s="3"/>
      <c r="L5" s="4"/>
    </row>
    <row r="6" spans="1:12" ht="25.5" x14ac:dyDescent="0.15">
      <c r="A6" s="55" t="s">
        <v>2</v>
      </c>
      <c r="B6" s="56"/>
      <c r="C6" s="66"/>
      <c r="D6" s="66"/>
      <c r="E6" s="66"/>
      <c r="F6" s="66"/>
      <c r="G6" s="66"/>
      <c r="H6" s="32"/>
      <c r="I6" s="1"/>
      <c r="J6" s="2"/>
      <c r="K6" s="3"/>
      <c r="L6" s="4"/>
    </row>
    <row r="7" spans="1:12" ht="25.5" x14ac:dyDescent="0.3">
      <c r="A7" s="55" t="s">
        <v>1</v>
      </c>
      <c r="B7" s="56"/>
      <c r="C7" s="69">
        <f>SUM(K10:K45)</f>
        <v>300000</v>
      </c>
      <c r="D7" s="70"/>
      <c r="E7" s="70"/>
      <c r="F7" s="67" t="s">
        <v>15</v>
      </c>
      <c r="G7" s="68"/>
      <c r="H7" s="33"/>
      <c r="I7" s="5"/>
      <c r="J7" s="10"/>
      <c r="K7" s="11"/>
      <c r="L7" s="13"/>
    </row>
    <row r="8" spans="1:12" ht="17.25" thickBot="1" x14ac:dyDescent="0.35">
      <c r="A8" s="63" t="s">
        <v>4</v>
      </c>
      <c r="B8" s="64"/>
      <c r="C8" s="64"/>
      <c r="D8" s="64"/>
      <c r="E8" s="64"/>
      <c r="F8" s="64"/>
      <c r="G8" s="64"/>
      <c r="H8" s="64"/>
      <c r="I8" s="64"/>
      <c r="J8" s="64"/>
      <c r="K8" s="64"/>
      <c r="L8" s="65"/>
    </row>
    <row r="9" spans="1:12" ht="20.100000000000001" customHeight="1" thickBot="1" x14ac:dyDescent="0.35">
      <c r="A9" s="16" t="s">
        <v>5</v>
      </c>
      <c r="B9" s="17" t="s">
        <v>13</v>
      </c>
      <c r="C9" s="18" t="s">
        <v>16</v>
      </c>
      <c r="D9" s="20" t="s">
        <v>6</v>
      </c>
      <c r="E9" s="18" t="s">
        <v>7</v>
      </c>
      <c r="F9" s="18" t="s">
        <v>8</v>
      </c>
      <c r="G9" s="17" t="s">
        <v>17</v>
      </c>
      <c r="H9" s="18" t="s">
        <v>18</v>
      </c>
      <c r="I9" s="18" t="s">
        <v>22</v>
      </c>
      <c r="J9" s="18" t="s">
        <v>9</v>
      </c>
      <c r="K9" s="18" t="s">
        <v>10</v>
      </c>
      <c r="L9" s="19" t="s">
        <v>11</v>
      </c>
    </row>
    <row r="10" spans="1:12" ht="20.100000000000001" customHeight="1" x14ac:dyDescent="0.3">
      <c r="A10" s="35">
        <v>1</v>
      </c>
      <c r="B10" s="23" t="s">
        <v>23</v>
      </c>
      <c r="C10" s="34" t="s">
        <v>25</v>
      </c>
      <c r="D10" s="21">
        <v>3</v>
      </c>
      <c r="E10" s="6" t="s">
        <v>27</v>
      </c>
      <c r="F10" s="44">
        <v>0</v>
      </c>
      <c r="G10" s="45">
        <v>0</v>
      </c>
      <c r="H10" s="46">
        <v>85000</v>
      </c>
      <c r="I10" s="44"/>
      <c r="J10" s="40">
        <f t="shared" ref="J10:J45" si="0">SUM(F10:I10)</f>
        <v>85000</v>
      </c>
      <c r="K10" s="41">
        <f t="shared" ref="K10:K45" si="1">D10*J10</f>
        <v>255000</v>
      </c>
      <c r="L10" s="48"/>
    </row>
    <row r="11" spans="1:12" ht="20.100000000000001" customHeight="1" x14ac:dyDescent="0.3">
      <c r="A11" s="35">
        <v>2</v>
      </c>
      <c r="B11" s="23" t="s">
        <v>24</v>
      </c>
      <c r="C11" s="34" t="s">
        <v>26</v>
      </c>
      <c r="D11" s="21">
        <v>3</v>
      </c>
      <c r="E11" s="6" t="s">
        <v>27</v>
      </c>
      <c r="F11" s="46">
        <v>0</v>
      </c>
      <c r="G11" s="45">
        <v>0</v>
      </c>
      <c r="H11" s="46">
        <v>15000</v>
      </c>
      <c r="I11" s="47"/>
      <c r="J11" s="40">
        <f t="shared" si="0"/>
        <v>15000</v>
      </c>
      <c r="K11" s="41">
        <f t="shared" si="1"/>
        <v>45000</v>
      </c>
      <c r="L11" s="15"/>
    </row>
    <row r="12" spans="1:12" ht="20.100000000000001" customHeight="1" x14ac:dyDescent="0.3">
      <c r="A12" s="35">
        <v>3</v>
      </c>
      <c r="B12" s="23"/>
      <c r="C12" s="34"/>
      <c r="D12" s="21"/>
      <c r="E12" s="6"/>
      <c r="F12" s="46"/>
      <c r="G12" s="45"/>
      <c r="H12" s="46"/>
      <c r="I12" s="47"/>
      <c r="J12" s="40">
        <f t="shared" si="0"/>
        <v>0</v>
      </c>
      <c r="K12" s="41">
        <f t="shared" si="1"/>
        <v>0</v>
      </c>
      <c r="L12" s="15"/>
    </row>
    <row r="13" spans="1:12" ht="20.100000000000001" customHeight="1" x14ac:dyDescent="0.3">
      <c r="A13" s="35">
        <v>4</v>
      </c>
      <c r="B13" s="23"/>
      <c r="C13" s="36"/>
      <c r="D13" s="29"/>
      <c r="E13" s="6"/>
      <c r="F13" s="46"/>
      <c r="G13" s="45"/>
      <c r="H13" s="46"/>
      <c r="I13" s="47"/>
      <c r="J13" s="40">
        <f t="shared" si="0"/>
        <v>0</v>
      </c>
      <c r="K13" s="41">
        <f t="shared" si="1"/>
        <v>0</v>
      </c>
      <c r="L13" s="15"/>
    </row>
    <row r="14" spans="1:12" ht="20.100000000000001" customHeight="1" x14ac:dyDescent="0.3">
      <c r="A14" s="35">
        <v>5</v>
      </c>
      <c r="B14" s="23"/>
      <c r="C14" s="34"/>
      <c r="D14" s="21"/>
      <c r="E14" s="6"/>
      <c r="F14" s="46"/>
      <c r="G14" s="45"/>
      <c r="H14" s="46"/>
      <c r="I14" s="47"/>
      <c r="J14" s="40">
        <f t="shared" si="0"/>
        <v>0</v>
      </c>
      <c r="K14" s="41">
        <f t="shared" si="1"/>
        <v>0</v>
      </c>
      <c r="L14" s="15"/>
    </row>
    <row r="15" spans="1:12" ht="20.100000000000001" customHeight="1" x14ac:dyDescent="0.3">
      <c r="A15" s="35">
        <v>6</v>
      </c>
      <c r="B15" s="28"/>
      <c r="C15" s="37"/>
      <c r="D15" s="21"/>
      <c r="E15" s="6"/>
      <c r="F15" s="46"/>
      <c r="G15" s="45"/>
      <c r="H15" s="46"/>
      <c r="I15" s="47"/>
      <c r="J15" s="40">
        <f t="shared" si="0"/>
        <v>0</v>
      </c>
      <c r="K15" s="41">
        <f t="shared" si="1"/>
        <v>0</v>
      </c>
      <c r="L15" s="15"/>
    </row>
    <row r="16" spans="1:12" ht="20.100000000000001" customHeight="1" x14ac:dyDescent="0.3">
      <c r="A16" s="35">
        <v>7</v>
      </c>
      <c r="B16" s="23"/>
      <c r="C16" s="34"/>
      <c r="D16" s="21"/>
      <c r="E16" s="6"/>
      <c r="F16" s="46"/>
      <c r="G16" s="45"/>
      <c r="H16" s="46"/>
      <c r="I16" s="47"/>
      <c r="J16" s="40">
        <f t="shared" si="0"/>
        <v>0</v>
      </c>
      <c r="K16" s="41">
        <f t="shared" si="1"/>
        <v>0</v>
      </c>
      <c r="L16" s="15"/>
    </row>
    <row r="17" spans="1:12" ht="20.100000000000001" customHeight="1" x14ac:dyDescent="0.3">
      <c r="A17" s="35">
        <v>8</v>
      </c>
      <c r="B17" s="23"/>
      <c r="C17" s="34"/>
      <c r="D17" s="21"/>
      <c r="E17" s="6"/>
      <c r="F17" s="42"/>
      <c r="G17" s="39"/>
      <c r="H17" s="42"/>
      <c r="I17" s="38"/>
      <c r="J17" s="40">
        <f t="shared" si="0"/>
        <v>0</v>
      </c>
      <c r="K17" s="41">
        <f t="shared" si="1"/>
        <v>0</v>
      </c>
      <c r="L17" s="15"/>
    </row>
    <row r="18" spans="1:12" ht="20.100000000000001" customHeight="1" x14ac:dyDescent="0.3">
      <c r="A18" s="35">
        <v>9</v>
      </c>
      <c r="B18" s="23"/>
      <c r="C18" s="34"/>
      <c r="D18" s="21"/>
      <c r="E18" s="6"/>
      <c r="F18" s="42"/>
      <c r="G18" s="39"/>
      <c r="H18" s="42"/>
      <c r="I18" s="38"/>
      <c r="J18" s="40">
        <f t="shared" si="0"/>
        <v>0</v>
      </c>
      <c r="K18" s="41">
        <f t="shared" si="1"/>
        <v>0</v>
      </c>
      <c r="L18" s="15"/>
    </row>
    <row r="19" spans="1:12" ht="18.75" customHeight="1" x14ac:dyDescent="0.3">
      <c r="A19" s="35">
        <v>10</v>
      </c>
      <c r="B19" s="23"/>
      <c r="C19" s="34"/>
      <c r="D19" s="21"/>
      <c r="E19" s="6"/>
      <c r="F19" s="38"/>
      <c r="G19" s="43"/>
      <c r="H19" s="38"/>
      <c r="I19" s="38"/>
      <c r="J19" s="40">
        <f t="shared" si="0"/>
        <v>0</v>
      </c>
      <c r="K19" s="41">
        <f t="shared" si="1"/>
        <v>0</v>
      </c>
      <c r="L19" s="15"/>
    </row>
    <row r="20" spans="1:12" ht="20.100000000000001" customHeight="1" x14ac:dyDescent="0.3">
      <c r="A20" s="35">
        <v>11</v>
      </c>
      <c r="B20" s="23"/>
      <c r="C20" s="34"/>
      <c r="D20" s="21"/>
      <c r="E20" s="6"/>
      <c r="F20" s="38"/>
      <c r="G20" s="39"/>
      <c r="H20" s="38"/>
      <c r="I20" s="38"/>
      <c r="J20" s="40">
        <f t="shared" si="0"/>
        <v>0</v>
      </c>
      <c r="K20" s="41">
        <f t="shared" si="1"/>
        <v>0</v>
      </c>
      <c r="L20" s="15"/>
    </row>
    <row r="21" spans="1:12" ht="20.100000000000001" customHeight="1" x14ac:dyDescent="0.3">
      <c r="A21" s="35">
        <v>12</v>
      </c>
      <c r="B21" s="23"/>
      <c r="C21" s="34"/>
      <c r="D21" s="21"/>
      <c r="E21" s="6"/>
      <c r="F21" s="38"/>
      <c r="G21" s="39"/>
      <c r="H21" s="38"/>
      <c r="I21" s="38"/>
      <c r="J21" s="40">
        <f t="shared" si="0"/>
        <v>0</v>
      </c>
      <c r="K21" s="41">
        <f t="shared" si="1"/>
        <v>0</v>
      </c>
      <c r="L21" s="15"/>
    </row>
    <row r="22" spans="1:12" ht="20.100000000000001" customHeight="1" x14ac:dyDescent="0.3">
      <c r="A22" s="35">
        <v>13</v>
      </c>
      <c r="B22" s="23"/>
      <c r="C22" s="34"/>
      <c r="D22" s="21"/>
      <c r="E22" s="6"/>
      <c r="F22" s="38"/>
      <c r="G22" s="39"/>
      <c r="H22" s="38"/>
      <c r="I22" s="38"/>
      <c r="J22" s="40">
        <f t="shared" si="0"/>
        <v>0</v>
      </c>
      <c r="K22" s="41">
        <f t="shared" si="1"/>
        <v>0</v>
      </c>
      <c r="L22" s="15"/>
    </row>
    <row r="23" spans="1:12" ht="20.100000000000001" customHeight="1" x14ac:dyDescent="0.3">
      <c r="A23" s="35">
        <v>14</v>
      </c>
      <c r="B23" s="23"/>
      <c r="C23" s="34"/>
      <c r="D23" s="21"/>
      <c r="E23" s="6"/>
      <c r="F23" s="38"/>
      <c r="G23" s="39"/>
      <c r="H23" s="38"/>
      <c r="I23" s="38"/>
      <c r="J23" s="40">
        <f t="shared" si="0"/>
        <v>0</v>
      </c>
      <c r="K23" s="41">
        <f t="shared" si="1"/>
        <v>0</v>
      </c>
      <c r="L23" s="15"/>
    </row>
    <row r="24" spans="1:12" ht="20.100000000000001" customHeight="1" x14ac:dyDescent="0.3">
      <c r="A24" s="35">
        <v>15</v>
      </c>
      <c r="B24" s="23"/>
      <c r="C24" s="34"/>
      <c r="D24" s="21"/>
      <c r="E24" s="6"/>
      <c r="F24" s="38"/>
      <c r="G24" s="39"/>
      <c r="H24" s="38"/>
      <c r="I24" s="38"/>
      <c r="J24" s="40">
        <f t="shared" si="0"/>
        <v>0</v>
      </c>
      <c r="K24" s="41">
        <f t="shared" si="1"/>
        <v>0</v>
      </c>
      <c r="L24" s="15"/>
    </row>
    <row r="25" spans="1:12" ht="20.100000000000001" customHeight="1" x14ac:dyDescent="0.3">
      <c r="A25" s="35">
        <v>16</v>
      </c>
      <c r="B25" s="23"/>
      <c r="C25" s="34"/>
      <c r="D25" s="21"/>
      <c r="E25" s="6"/>
      <c r="F25" s="38"/>
      <c r="G25" s="39"/>
      <c r="H25" s="38"/>
      <c r="I25" s="38"/>
      <c r="J25" s="40">
        <f t="shared" si="0"/>
        <v>0</v>
      </c>
      <c r="K25" s="41">
        <f t="shared" si="1"/>
        <v>0</v>
      </c>
      <c r="L25" s="15"/>
    </row>
    <row r="26" spans="1:12" ht="20.100000000000001" customHeight="1" x14ac:dyDescent="0.3">
      <c r="A26" s="35">
        <v>17</v>
      </c>
      <c r="B26" s="23"/>
      <c r="C26" s="34"/>
      <c r="D26" s="21"/>
      <c r="E26" s="6"/>
      <c r="F26" s="38"/>
      <c r="G26" s="39"/>
      <c r="H26" s="38"/>
      <c r="I26" s="38"/>
      <c r="J26" s="40">
        <f t="shared" si="0"/>
        <v>0</v>
      </c>
      <c r="K26" s="41">
        <f t="shared" si="1"/>
        <v>0</v>
      </c>
      <c r="L26" s="15"/>
    </row>
    <row r="27" spans="1:12" ht="20.100000000000001" customHeight="1" x14ac:dyDescent="0.3">
      <c r="A27" s="35">
        <v>18</v>
      </c>
      <c r="B27" s="23"/>
      <c r="C27" s="34"/>
      <c r="D27" s="21"/>
      <c r="E27" s="6"/>
      <c r="F27" s="38"/>
      <c r="G27" s="39"/>
      <c r="H27" s="38"/>
      <c r="I27" s="38"/>
      <c r="J27" s="40">
        <f t="shared" si="0"/>
        <v>0</v>
      </c>
      <c r="K27" s="41">
        <f t="shared" si="1"/>
        <v>0</v>
      </c>
      <c r="L27" s="15"/>
    </row>
    <row r="28" spans="1:12" ht="20.100000000000001" customHeight="1" x14ac:dyDescent="0.3">
      <c r="A28" s="35">
        <v>19</v>
      </c>
      <c r="B28" s="23"/>
      <c r="C28" s="34"/>
      <c r="D28" s="21"/>
      <c r="E28" s="6"/>
      <c r="F28" s="38"/>
      <c r="G28" s="39"/>
      <c r="H28" s="38"/>
      <c r="I28" s="38"/>
      <c r="J28" s="40">
        <f t="shared" si="0"/>
        <v>0</v>
      </c>
      <c r="K28" s="41">
        <f t="shared" si="1"/>
        <v>0</v>
      </c>
      <c r="L28" s="15"/>
    </row>
    <row r="29" spans="1:12" ht="20.100000000000001" customHeight="1" x14ac:dyDescent="0.3">
      <c r="A29" s="35">
        <v>20</v>
      </c>
      <c r="B29" s="23"/>
      <c r="C29" s="34"/>
      <c r="D29" s="21"/>
      <c r="E29" s="6"/>
      <c r="F29" s="38"/>
      <c r="G29" s="43"/>
      <c r="H29" s="38"/>
      <c r="I29" s="38"/>
      <c r="J29" s="40">
        <f t="shared" si="0"/>
        <v>0</v>
      </c>
      <c r="K29" s="41">
        <f t="shared" si="1"/>
        <v>0</v>
      </c>
      <c r="L29" s="15"/>
    </row>
    <row r="30" spans="1:12" ht="20.100000000000001" customHeight="1" x14ac:dyDescent="0.3">
      <c r="A30" s="35">
        <v>21</v>
      </c>
      <c r="B30" s="23"/>
      <c r="C30" s="34"/>
      <c r="D30" s="21"/>
      <c r="E30" s="6"/>
      <c r="F30" s="38"/>
      <c r="G30" s="39"/>
      <c r="H30" s="38"/>
      <c r="I30" s="38"/>
      <c r="J30" s="40">
        <f t="shared" si="0"/>
        <v>0</v>
      </c>
      <c r="K30" s="41">
        <f t="shared" si="1"/>
        <v>0</v>
      </c>
      <c r="L30" s="15"/>
    </row>
    <row r="31" spans="1:12" ht="20.100000000000001" customHeight="1" x14ac:dyDescent="0.3">
      <c r="A31" s="35">
        <v>22</v>
      </c>
      <c r="B31" s="23"/>
      <c r="C31" s="34"/>
      <c r="D31" s="21"/>
      <c r="E31" s="6"/>
      <c r="F31" s="38"/>
      <c r="G31" s="39"/>
      <c r="H31" s="38"/>
      <c r="I31" s="38"/>
      <c r="J31" s="40">
        <f t="shared" si="0"/>
        <v>0</v>
      </c>
      <c r="K31" s="41">
        <f t="shared" si="1"/>
        <v>0</v>
      </c>
      <c r="L31" s="15"/>
    </row>
    <row r="32" spans="1:12" ht="20.100000000000001" customHeight="1" x14ac:dyDescent="0.3">
      <c r="A32" s="35">
        <v>23</v>
      </c>
      <c r="B32" s="23"/>
      <c r="C32" s="34"/>
      <c r="D32" s="21"/>
      <c r="E32" s="6"/>
      <c r="F32" s="38"/>
      <c r="G32" s="39"/>
      <c r="H32" s="38"/>
      <c r="I32" s="38"/>
      <c r="J32" s="40">
        <f t="shared" si="0"/>
        <v>0</v>
      </c>
      <c r="K32" s="41">
        <f t="shared" si="1"/>
        <v>0</v>
      </c>
      <c r="L32" s="15"/>
    </row>
    <row r="33" spans="1:12" ht="20.100000000000001" customHeight="1" x14ac:dyDescent="0.3">
      <c r="A33" s="35">
        <v>24</v>
      </c>
      <c r="B33" s="23"/>
      <c r="C33" s="34"/>
      <c r="D33" s="21"/>
      <c r="E33" s="6"/>
      <c r="F33" s="38"/>
      <c r="G33" s="39"/>
      <c r="H33" s="38"/>
      <c r="I33" s="38"/>
      <c r="J33" s="40">
        <f t="shared" si="0"/>
        <v>0</v>
      </c>
      <c r="K33" s="41">
        <f t="shared" si="1"/>
        <v>0</v>
      </c>
      <c r="L33" s="15"/>
    </row>
    <row r="34" spans="1:12" ht="20.100000000000001" customHeight="1" x14ac:dyDescent="0.3">
      <c r="A34" s="35">
        <v>25</v>
      </c>
      <c r="B34" s="23"/>
      <c r="C34" s="34"/>
      <c r="D34" s="21"/>
      <c r="E34" s="6"/>
      <c r="F34" s="38"/>
      <c r="G34" s="39"/>
      <c r="H34" s="38"/>
      <c r="I34" s="38"/>
      <c r="J34" s="40">
        <f t="shared" si="0"/>
        <v>0</v>
      </c>
      <c r="K34" s="41">
        <f t="shared" si="1"/>
        <v>0</v>
      </c>
      <c r="L34" s="15"/>
    </row>
    <row r="35" spans="1:12" ht="20.100000000000001" customHeight="1" x14ac:dyDescent="0.3">
      <c r="A35" s="35">
        <v>26</v>
      </c>
      <c r="B35" s="23"/>
      <c r="C35" s="34"/>
      <c r="D35" s="21"/>
      <c r="E35" s="6"/>
      <c r="F35" s="38"/>
      <c r="G35" s="39"/>
      <c r="H35" s="38"/>
      <c r="I35" s="38"/>
      <c r="J35" s="40">
        <f t="shared" si="0"/>
        <v>0</v>
      </c>
      <c r="K35" s="41">
        <f t="shared" si="1"/>
        <v>0</v>
      </c>
      <c r="L35" s="15"/>
    </row>
    <row r="36" spans="1:12" ht="20.100000000000001" customHeight="1" x14ac:dyDescent="0.3">
      <c r="A36" s="35">
        <v>27</v>
      </c>
      <c r="B36" s="23"/>
      <c r="C36" s="34"/>
      <c r="D36" s="21"/>
      <c r="E36" s="6"/>
      <c r="F36" s="38"/>
      <c r="G36" s="39"/>
      <c r="H36" s="38"/>
      <c r="I36" s="38"/>
      <c r="J36" s="40">
        <f t="shared" si="0"/>
        <v>0</v>
      </c>
      <c r="K36" s="41">
        <f t="shared" si="1"/>
        <v>0</v>
      </c>
      <c r="L36" s="15"/>
    </row>
    <row r="37" spans="1:12" ht="20.100000000000001" customHeight="1" x14ac:dyDescent="0.3">
      <c r="A37" s="35">
        <v>28</v>
      </c>
      <c r="B37" s="23"/>
      <c r="C37" s="34"/>
      <c r="D37" s="21"/>
      <c r="E37" s="6"/>
      <c r="F37" s="38"/>
      <c r="G37" s="39"/>
      <c r="H37" s="38"/>
      <c r="I37" s="38"/>
      <c r="J37" s="40">
        <f t="shared" si="0"/>
        <v>0</v>
      </c>
      <c r="K37" s="41">
        <f t="shared" si="1"/>
        <v>0</v>
      </c>
      <c r="L37" s="15"/>
    </row>
    <row r="38" spans="1:12" ht="20.100000000000001" customHeight="1" x14ac:dyDescent="0.3">
      <c r="A38" s="35">
        <v>29</v>
      </c>
      <c r="B38" s="23"/>
      <c r="C38" s="34"/>
      <c r="D38" s="21"/>
      <c r="E38" s="6"/>
      <c r="F38" s="38"/>
      <c r="G38" s="39"/>
      <c r="H38" s="38"/>
      <c r="I38" s="38"/>
      <c r="J38" s="40">
        <f t="shared" si="0"/>
        <v>0</v>
      </c>
      <c r="K38" s="41">
        <f t="shared" si="1"/>
        <v>0</v>
      </c>
      <c r="L38" s="15"/>
    </row>
    <row r="39" spans="1:12" ht="20.100000000000001" customHeight="1" x14ac:dyDescent="0.3">
      <c r="A39" s="35">
        <v>30</v>
      </c>
      <c r="B39" s="23"/>
      <c r="C39" s="34"/>
      <c r="D39" s="21"/>
      <c r="E39" s="6"/>
      <c r="F39" s="38"/>
      <c r="G39" s="43"/>
      <c r="H39" s="38"/>
      <c r="I39" s="38"/>
      <c r="J39" s="40">
        <f t="shared" si="0"/>
        <v>0</v>
      </c>
      <c r="K39" s="41">
        <f t="shared" si="1"/>
        <v>0</v>
      </c>
      <c r="L39" s="15"/>
    </row>
    <row r="40" spans="1:12" ht="20.100000000000001" customHeight="1" x14ac:dyDescent="0.3">
      <c r="A40" s="35">
        <v>31</v>
      </c>
      <c r="B40" s="23"/>
      <c r="C40" s="34"/>
      <c r="D40" s="21"/>
      <c r="E40" s="6"/>
      <c r="F40" s="38"/>
      <c r="G40" s="39"/>
      <c r="H40" s="38"/>
      <c r="I40" s="38"/>
      <c r="J40" s="40">
        <f t="shared" si="0"/>
        <v>0</v>
      </c>
      <c r="K40" s="41">
        <f t="shared" si="1"/>
        <v>0</v>
      </c>
      <c r="L40" s="15"/>
    </row>
    <row r="41" spans="1:12" ht="20.100000000000001" customHeight="1" x14ac:dyDescent="0.3">
      <c r="A41" s="35">
        <v>32</v>
      </c>
      <c r="B41" s="23"/>
      <c r="C41" s="34"/>
      <c r="D41" s="21"/>
      <c r="E41" s="6"/>
      <c r="F41" s="38"/>
      <c r="G41" s="39"/>
      <c r="H41" s="38"/>
      <c r="I41" s="38"/>
      <c r="J41" s="40">
        <f t="shared" si="0"/>
        <v>0</v>
      </c>
      <c r="K41" s="41">
        <f t="shared" si="1"/>
        <v>0</v>
      </c>
      <c r="L41" s="15"/>
    </row>
    <row r="42" spans="1:12" ht="20.100000000000001" customHeight="1" x14ac:dyDescent="0.3">
      <c r="A42" s="35">
        <v>33</v>
      </c>
      <c r="B42" s="23"/>
      <c r="C42" s="34"/>
      <c r="D42" s="21"/>
      <c r="E42" s="6"/>
      <c r="F42" s="38"/>
      <c r="G42" s="39"/>
      <c r="H42" s="38"/>
      <c r="I42" s="38"/>
      <c r="J42" s="40">
        <f t="shared" si="0"/>
        <v>0</v>
      </c>
      <c r="K42" s="41">
        <f t="shared" si="1"/>
        <v>0</v>
      </c>
      <c r="L42" s="15"/>
    </row>
    <row r="43" spans="1:12" x14ac:dyDescent="0.3">
      <c r="A43" s="35">
        <v>34</v>
      </c>
      <c r="B43" s="23"/>
      <c r="C43" s="34"/>
      <c r="D43" s="21"/>
      <c r="E43" s="6"/>
      <c r="F43" s="38"/>
      <c r="G43" s="39"/>
      <c r="H43" s="38"/>
      <c r="I43" s="38"/>
      <c r="J43" s="40">
        <f t="shared" si="0"/>
        <v>0</v>
      </c>
      <c r="K43" s="41">
        <f t="shared" si="1"/>
        <v>0</v>
      </c>
      <c r="L43" s="15"/>
    </row>
    <row r="44" spans="1:12" x14ac:dyDescent="0.3">
      <c r="A44" s="35">
        <v>35</v>
      </c>
      <c r="B44" s="23"/>
      <c r="C44" s="34"/>
      <c r="D44" s="21"/>
      <c r="E44" s="6"/>
      <c r="F44" s="38"/>
      <c r="G44" s="39"/>
      <c r="H44" s="38"/>
      <c r="I44" s="38"/>
      <c r="J44" s="40">
        <f t="shared" si="0"/>
        <v>0</v>
      </c>
      <c r="K44" s="41">
        <f t="shared" si="1"/>
        <v>0</v>
      </c>
      <c r="L44" s="15"/>
    </row>
    <row r="45" spans="1:12" x14ac:dyDescent="0.3">
      <c r="A45" s="35">
        <v>36</v>
      </c>
      <c r="B45" s="23"/>
      <c r="C45" s="34"/>
      <c r="D45" s="21"/>
      <c r="E45" s="6"/>
      <c r="F45" s="38"/>
      <c r="G45" s="39"/>
      <c r="H45" s="38"/>
      <c r="I45" s="38"/>
      <c r="J45" s="40">
        <f t="shared" si="0"/>
        <v>0</v>
      </c>
      <c r="K45" s="41">
        <f t="shared" si="1"/>
        <v>0</v>
      </c>
      <c r="L45" s="15"/>
    </row>
    <row r="46" spans="1:12" x14ac:dyDescent="0.3">
      <c r="B46" s="24"/>
      <c r="C46" s="25"/>
      <c r="D46" s="26"/>
      <c r="E46" s="27"/>
    </row>
    <row r="47" spans="1:12" x14ac:dyDescent="0.3">
      <c r="B47" s="24"/>
      <c r="C47" s="25"/>
      <c r="D47" s="26"/>
      <c r="E47" s="27"/>
    </row>
    <row r="48" spans="1:12" x14ac:dyDescent="0.3">
      <c r="B48" s="24"/>
      <c r="C48" s="25"/>
      <c r="D48" s="26"/>
      <c r="E48" s="27"/>
    </row>
    <row r="49" spans="2:5" x14ac:dyDescent="0.3">
      <c r="B49" s="24"/>
      <c r="C49" s="25"/>
      <c r="D49" s="26"/>
      <c r="E49" s="27"/>
    </row>
    <row r="50" spans="2:5" x14ac:dyDescent="0.3">
      <c r="B50" s="24"/>
      <c r="C50" s="25"/>
      <c r="D50" s="26"/>
      <c r="E50" s="27"/>
    </row>
    <row r="51" spans="2:5" x14ac:dyDescent="0.3">
      <c r="B51" s="24"/>
      <c r="C51" s="25"/>
      <c r="D51" s="26"/>
      <c r="E51" s="27"/>
    </row>
    <row r="52" spans="2:5" x14ac:dyDescent="0.3">
      <c r="B52" s="24"/>
      <c r="C52" s="25"/>
      <c r="D52" s="26"/>
      <c r="E52" s="27"/>
    </row>
    <row r="53" spans="2:5" x14ac:dyDescent="0.3">
      <c r="B53" s="24"/>
      <c r="C53" s="25"/>
      <c r="D53" s="26"/>
      <c r="E53" s="27"/>
    </row>
  </sheetData>
  <mergeCells count="15">
    <mergeCell ref="C5:G5"/>
    <mergeCell ref="A8:L8"/>
    <mergeCell ref="A5:B5"/>
    <mergeCell ref="A6:B6"/>
    <mergeCell ref="C6:G6"/>
    <mergeCell ref="A7:B7"/>
    <mergeCell ref="F7:G7"/>
    <mergeCell ref="C7:E7"/>
    <mergeCell ref="A1:L1"/>
    <mergeCell ref="A2:L2"/>
    <mergeCell ref="A3:B3"/>
    <mergeCell ref="A4:B4"/>
    <mergeCell ref="C3:E3"/>
    <mergeCell ref="F3:G3"/>
    <mergeCell ref="C4:G4"/>
  </mergeCells>
  <phoneticPr fontId="3" type="noConversion"/>
  <dataValidations xWindow="130" yWindow="395" count="2">
    <dataValidation allowBlank="1" showInputMessage="1" showErrorMessage="1" promptTitle="견적담당" prompt="견적담당(연락처) 입력" sqref="A4:B4" xr:uid="{00000000-0002-0000-0000-000000000000}"/>
    <dataValidation allowBlank="1" showInputMessage="1" showErrorMessage="1" prompt="자동계산_x000a_수정하지마세요_x000a_" sqref="J10:L45" xr:uid="{00000000-0002-0000-0000-000001000000}"/>
  </dataValidations>
  <printOptions horizontalCentered="1" verticalCentered="1"/>
  <pageMargins left="0.19685039370078741" right="0.19685039370078741" top="0.39370078740157483" bottom="0.31496062992125984" header="0.31496062992125984" footer="0.31496062992125984"/>
  <pageSetup paperSize="9" scale="57" fitToHeight="0" orientation="portrait" verticalDpi="300" r:id="rId1"/>
  <colBreaks count="1" manualBreakCount="1">
    <brk id="12" max="5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user</cp:lastModifiedBy>
  <cp:lastPrinted>2025-04-16T02:50:20Z</cp:lastPrinted>
  <dcterms:created xsi:type="dcterms:W3CDTF">2021-10-08T12:45:58Z</dcterms:created>
  <dcterms:modified xsi:type="dcterms:W3CDTF">2026-07-09T05:06:56Z</dcterms:modified>
</cp:coreProperties>
</file>